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B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Mediile elevilor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'Catalog'!G3</f>
            </strRef>
          </tx>
          <spPr>
            <a:ln xmlns:a="http://schemas.openxmlformats.org/drawingml/2006/main">
              <a:prstDash val="solid"/>
            </a:ln>
          </spPr>
          <cat>
            <numRef>
              <f>'Catalog'!$B$4:$B$13</f>
            </numRef>
          </cat>
          <val>
            <numRef>
              <f>'Catalog'!$G$4:$G$13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2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0" customWidth="1" min="2" max="2"/>
  </cols>
  <sheetData>
    <row r="1">
      <c r="A1" s="1" t="inlineStr">
        <is>
          <t>CATALOG CLASA a VIII-a B - Anul Scolar 2024-2025</t>
        </is>
      </c>
    </row>
    <row r="3">
      <c r="A3" s="2" t="inlineStr">
        <is>
          <t>Nr</t>
        </is>
      </c>
      <c r="B3" s="2" t="inlineStr">
        <is>
          <t>Nume Elev</t>
        </is>
      </c>
      <c r="C3" s="2" t="inlineStr">
        <is>
          <t>Romana</t>
        </is>
      </c>
      <c r="D3" s="2" t="inlineStr">
        <is>
          <t>Matematica</t>
        </is>
      </c>
      <c r="E3" s="2" t="inlineStr">
        <is>
          <t>Engleza</t>
        </is>
      </c>
      <c r="F3" s="2" t="inlineStr">
        <is>
          <t>Istorie</t>
        </is>
      </c>
      <c r="G3" s="2" t="inlineStr">
        <is>
          <t>Media</t>
        </is>
      </c>
    </row>
    <row r="4">
      <c r="A4" s="3" t="n">
        <v>1</v>
      </c>
      <c r="B4" s="3" t="inlineStr">
        <is>
          <t>Popescu Ion</t>
        </is>
      </c>
      <c r="C4" s="4" t="n">
        <v>7.5</v>
      </c>
      <c r="D4" s="4" t="n">
        <v>8</v>
      </c>
      <c r="E4" s="4" t="n">
        <v>6.5</v>
      </c>
      <c r="F4" s="4" t="n">
        <v>9</v>
      </c>
      <c r="G4" s="3">
        <f>AVERAGE(C4:F4)</f>
        <v/>
      </c>
    </row>
    <row r="5">
      <c r="A5" s="3" t="n">
        <v>2</v>
      </c>
      <c r="B5" s="3" t="inlineStr">
        <is>
          <t>Ionescu Maria</t>
        </is>
      </c>
      <c r="C5" s="4" t="n">
        <v>8</v>
      </c>
      <c r="D5" s="4" t="n">
        <v>9.5</v>
      </c>
      <c r="E5" s="4" t="n">
        <v>7</v>
      </c>
      <c r="F5" s="4" t="n">
        <v>8.5</v>
      </c>
      <c r="G5" s="3">
        <f>AVERAGE(C5:F5)</f>
        <v/>
      </c>
    </row>
    <row r="6">
      <c r="A6" s="3" t="n">
        <v>3</v>
      </c>
      <c r="B6" s="3" t="inlineStr">
        <is>
          <t>Vasilescu Andrei</t>
        </is>
      </c>
      <c r="C6" s="4" t="n">
        <v>6</v>
      </c>
      <c r="D6" s="4" t="n">
        <v>5.5</v>
      </c>
      <c r="E6" s="4" t="n">
        <v>7.5</v>
      </c>
      <c r="F6" s="4" t="n">
        <v>6</v>
      </c>
      <c r="G6" s="3">
        <f>AVERAGE(C6:F6)</f>
        <v/>
      </c>
    </row>
    <row r="7">
      <c r="A7" s="3" t="n">
        <v>4</v>
      </c>
      <c r="B7" s="3" t="inlineStr">
        <is>
          <t>Dumitrescu Ana</t>
        </is>
      </c>
      <c r="C7" s="4" t="n">
        <v>9</v>
      </c>
      <c r="D7" s="4" t="n">
        <v>8.5</v>
      </c>
      <c r="E7" s="4" t="n">
        <v>9.5</v>
      </c>
      <c r="F7" s="4" t="n">
        <v>7.5</v>
      </c>
      <c r="G7" s="3">
        <f>AVERAGE(C7:F7)</f>
        <v/>
      </c>
    </row>
    <row r="8">
      <c r="A8" s="3" t="n">
        <v>5</v>
      </c>
      <c r="B8" s="3" t="inlineStr">
        <is>
          <t>Georgescu Mihai</t>
        </is>
      </c>
      <c r="C8" s="4" t="n">
        <v>7</v>
      </c>
      <c r="D8" s="4" t="n">
        <v>6</v>
      </c>
      <c r="E8" s="4" t="n">
        <v>8</v>
      </c>
      <c r="F8" s="4" t="n">
        <v>7</v>
      </c>
      <c r="G8" s="3">
        <f>AVERAGE(C8:F8)</f>
        <v/>
      </c>
    </row>
    <row r="9">
      <c r="A9" s="3" t="n">
        <v>6</v>
      </c>
      <c r="B9" s="3" t="inlineStr">
        <is>
          <t>Marinescu Elena</t>
        </is>
      </c>
      <c r="C9" s="4" t="n">
        <v>8.5</v>
      </c>
      <c r="D9" s="4" t="n">
        <v>7.5</v>
      </c>
      <c r="E9" s="4" t="n">
        <v>6</v>
      </c>
      <c r="F9" s="4" t="n">
        <v>8</v>
      </c>
      <c r="G9" s="3">
        <f>AVERAGE(C9:F9)</f>
        <v/>
      </c>
    </row>
    <row r="10">
      <c r="A10" s="3" t="n">
        <v>7</v>
      </c>
      <c r="B10" s="3" t="inlineStr">
        <is>
          <t>Constantinescu Dan</t>
        </is>
      </c>
      <c r="C10" s="4" t="n">
        <v>5.5</v>
      </c>
      <c r="D10" s="4" t="n">
        <v>6.5</v>
      </c>
      <c r="E10" s="4" t="n">
        <v>7</v>
      </c>
      <c r="F10" s="4" t="n">
        <v>5.5</v>
      </c>
      <c r="G10" s="3">
        <f>AVERAGE(C10:F10)</f>
        <v/>
      </c>
    </row>
    <row r="11">
      <c r="A11" s="3" t="n">
        <v>8</v>
      </c>
      <c r="B11" s="3" t="inlineStr">
        <is>
          <t>Radulescu Ioana</t>
        </is>
      </c>
      <c r="C11" s="4" t="n">
        <v>9.5</v>
      </c>
      <c r="D11" s="4" t="n">
        <v>9</v>
      </c>
      <c r="E11" s="4" t="n">
        <v>8.5</v>
      </c>
      <c r="F11" s="4" t="n">
        <v>9.5</v>
      </c>
      <c r="G11" s="3">
        <f>AVERAGE(C11:F11)</f>
        <v/>
      </c>
    </row>
    <row r="12">
      <c r="A12" s="3" t="n">
        <v>9</v>
      </c>
      <c r="B12" s="3" t="inlineStr">
        <is>
          <t>Stanescu Alex</t>
        </is>
      </c>
      <c r="C12" s="4" t="n">
        <v>6.5</v>
      </c>
      <c r="D12" s="4" t="n">
        <v>7</v>
      </c>
      <c r="E12" s="4" t="n">
        <v>5.5</v>
      </c>
      <c r="F12" s="4" t="n">
        <v>6.5</v>
      </c>
      <c r="G12" s="3">
        <f>AVERAGE(C12:F12)</f>
        <v/>
      </c>
    </row>
    <row r="13">
      <c r="A13" s="3" t="n">
        <v>10</v>
      </c>
      <c r="B13" s="3" t="inlineStr">
        <is>
          <t>Nicolescu Sofia</t>
        </is>
      </c>
      <c r="C13" s="4" t="n">
        <v>8</v>
      </c>
      <c r="D13" s="4" t="n">
        <v>8.5</v>
      </c>
      <c r="E13" s="4" t="n">
        <v>9</v>
      </c>
      <c r="F13" s="4" t="n">
        <v>8</v>
      </c>
      <c r="G13" s="3">
        <f>AVERAGE(C13:F13)</f>
        <v/>
      </c>
    </row>
    <row r="15">
      <c r="A15" t="inlineStr">
        <is>
          <t>Media pe materie:</t>
        </is>
      </c>
      <c r="C15">
        <f>AVERAGE(C4:C13)</f>
        <v/>
      </c>
      <c r="D15">
        <f>AVERAGE(D4:D13)</f>
        <v/>
      </c>
      <c r="E15">
        <f>AVERAGE(E4:E13)</f>
        <v/>
      </c>
      <c r="F15">
        <f>AVERAGE(F4:F13)</f>
        <v/>
      </c>
      <c r="G15">
        <f>AVERAGE(G4:G13)</f>
        <v/>
      </c>
    </row>
    <row r="16">
      <c r="A16" t="inlineStr">
        <is>
          <t>Nota minima:</t>
        </is>
      </c>
      <c r="C16">
        <f>MIN(C4:C13)</f>
        <v/>
      </c>
      <c r="D16">
        <f>MIN(D4:D13)</f>
        <v/>
      </c>
      <c r="E16">
        <f>MIN(E4:E13)</f>
        <v/>
      </c>
      <c r="F16">
        <f>MIN(F4:F13)</f>
        <v/>
      </c>
      <c r="G16">
        <f>MIN(G4:G13)</f>
        <v/>
      </c>
    </row>
    <row r="17">
      <c r="A17" t="inlineStr">
        <is>
          <t>Nota maxima:</t>
        </is>
      </c>
      <c r="C17">
        <f>MAX(C4:C13)</f>
        <v/>
      </c>
      <c r="D17">
        <f>MAX(D4:D13)</f>
        <v/>
      </c>
      <c r="E17">
        <f>MAX(E4:E13)</f>
        <v/>
      </c>
      <c r="F17">
        <f>MAX(F4:F13)</f>
        <v/>
      </c>
      <c r="G17">
        <f>MAX(G4:G13)</f>
        <v/>
      </c>
    </row>
    <row r="18">
      <c r="A18" t="inlineStr">
        <is>
          <t>Elevi cu media &gt;= 7:</t>
        </is>
      </c>
      <c r="C18">
        <f>COUNTIF(G4:G13,"&gt;=7")</f>
        <v/>
      </c>
    </row>
  </sheetData>
  <mergeCells count="1">
    <mergeCell ref="A1:G1"/>
  </mergeCells>
  <pageMargins left="0.25" right="0.25" top="0.75" bottom="0.75" header="0.3" footer="0.3"/>
  <pageSetup orientation="landscape"/>
  <headerFooter>
    <oddHeader>&amp;CCatalog Scolar - Clasa a VIII-a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2026-09-13T12:57:23Z</dcterms:created>
  <dcterms:modified xmlns:dcterms="http://purl.org/dc/terms/" xmlns:xsi="http://www.w3.org/2001/XMLSchema-instance" xsi:type="dcterms:W3CDTF">2026-09-13T12:57:23Z</dcterms:modified>
</cp:coreProperties>
</file>